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Aditya.Abhiwan\FPR\data by client\AI Estimator for Retail Roof Replacements (1)\ai-estimator-losgic\"/>
    </mc:Choice>
  </mc:AlternateContent>
  <xr:revisionPtr revIDLastSave="0" documentId="13_ncr:1_{977C18FD-E6C4-47EE-B603-85989F9E8817}" xr6:coauthVersionLast="47" xr6:coauthVersionMax="47" xr10:uidLastSave="{00000000-0000-0000-0000-000000000000}"/>
  <bookViews>
    <workbookView xWindow="-120" yWindow="-120" windowWidth="29040" windowHeight="15720" activeTab="4" xr2:uid="{17A136AC-3DA5-4F6E-8DA3-F463D02431C9}"/>
  </bookViews>
  <sheets>
    <sheet name="Shingle (Class 3)" sheetId="1" r:id="rId1"/>
    <sheet name="Shingles (Class 4)" sheetId="2" r:id="rId2"/>
    <sheet name="Stone Coated Steel" sheetId="3" r:id="rId3"/>
    <sheet name="Standing Seam" sheetId="7" r:id="rId4"/>
    <sheet name="Synthetic Tile (Brava)" sheetId="4" r:id="rId5"/>
    <sheet name="TPO" sheetId="5" r:id="rId6"/>
    <sheet name="Modified"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D3" i="4"/>
  <c r="D2" i="4"/>
  <c r="E2" i="4"/>
</calcChain>
</file>

<file path=xl/sharedStrings.xml><?xml version="1.0" encoding="utf-8"?>
<sst xmlns="http://schemas.openxmlformats.org/spreadsheetml/2006/main" count="367" uniqueCount="171">
  <si>
    <t>Material</t>
  </si>
  <si>
    <t>Description</t>
  </si>
  <si>
    <t>Unit of Measurement</t>
  </si>
  <si>
    <t>Price Per Unit (Lower</t>
  </si>
  <si>
    <t>Price Per Unit (Upper)</t>
  </si>
  <si>
    <t>Hip and Ridge Shingles</t>
  </si>
  <si>
    <t>Synthetic Felt</t>
  </si>
  <si>
    <t>Ice and Water Underlayment</t>
  </si>
  <si>
    <t>Drip Edge</t>
  </si>
  <si>
    <t>Pipe Boot Flashing</t>
  </si>
  <si>
    <t>Attic Ventilation</t>
  </si>
  <si>
    <t>Starter</t>
  </si>
  <si>
    <t>Step Flashing</t>
  </si>
  <si>
    <t>Valley Metal</t>
  </si>
  <si>
    <t>Cap Nails</t>
  </si>
  <si>
    <t>Roofing Nails</t>
  </si>
  <si>
    <t>Caulking</t>
  </si>
  <si>
    <t>Paint</t>
  </si>
  <si>
    <t xml:space="preserve">Decking </t>
  </si>
  <si>
    <t>Field Shingles</t>
  </si>
  <si>
    <t>Roll (10 squares)</t>
  </si>
  <si>
    <t>Roll (1 Squares)</t>
  </si>
  <si>
    <t>Each (10 Linear Feet)</t>
  </si>
  <si>
    <t xml:space="preserve">Each </t>
  </si>
  <si>
    <t>Each</t>
  </si>
  <si>
    <t>Bundle (120 Linear feet)</t>
  </si>
  <si>
    <t>Roll (50 Linear Feet)</t>
  </si>
  <si>
    <t>Box (2000)</t>
  </si>
  <si>
    <t>Box (7200)</t>
  </si>
  <si>
    <t>Each (32 sq ft)</t>
  </si>
  <si>
    <t>Square (100 sq ft)</t>
  </si>
  <si>
    <t>Bundle (33 linear feet)</t>
  </si>
  <si>
    <t>Bundle of 100</t>
  </si>
  <si>
    <t>This serves as a protective moisture barrier between the roof deck and shingles. Engineered using wove polymer technology</t>
  </si>
  <si>
    <t xml:space="preserve">Field shingles are the main shingles installed across the flat areas of roof. Class 3 rating means these shingles have been tested to withstand larger hail impacts than standard shingles. </t>
  </si>
  <si>
    <t xml:space="preserve">Hip and ridge shingles are specially shaped shingles installed along the roof's peak and angled outside corners. These areas take the most wind pressure, so these shingles are thicker ad stronger than regular field shingles. </t>
  </si>
  <si>
    <t>Ice and water underlayment is a self-adhering, water-proof membrane Installed in the most vulnerable areas of your roof- such as valleys, eaves, around skylights, and along roof penetrations. This material seals tightly around nails and fasteners.</t>
  </si>
  <si>
    <t xml:space="preserve">Drip edge is a metal flashing installed along the edges of the roof- both eaves and rakes. Its purpose is to guide water away from the roof deck and into the gutters, preventing water from curling back under the shingles or damaging the fascia. </t>
  </si>
  <si>
    <t xml:space="preserve">Pipe boot flashing is a protective, waterproof seal installed around plumbing vent pipes that come up through the roof. It combines a flexible boot with a metal base that fits tightly around the pipe and is layered into the shingles. </t>
  </si>
  <si>
    <t>Versa Caps</t>
  </si>
  <si>
    <t xml:space="preserve">Versa Caps are a metal cap that is installed on top of metal vents coming through the roof. These are often damaged significantly from hail damage and are often replaced. </t>
  </si>
  <si>
    <t xml:space="preserve">There are many types of attic ventilation such as: low profile vents, whirley birds, powered vents, and solar vents. These vents allow the air in the attic to circulate through and cools the roof and attic. </t>
  </si>
  <si>
    <t xml:space="preserve">Starter shingles are the first layer of shingles installed along the edges of the roof before the field shingles. They create a straight, sealed base that helps prevent wind from lifting the shingles at the roofs perimeter. </t>
  </si>
  <si>
    <t xml:space="preserve">Step Flashing is a series of small, individual metal pieces installed where the roof meets a vertical surface, such as a wall or chimney. Each piece is layered in a "step-by-step" pattern between the shingles and wall. </t>
  </si>
  <si>
    <t>Valley metal is a protective metal lining installed along the valleys of the roof. Its job is to channel water away safely and prevent leaks in these high-traffic water areas.</t>
  </si>
  <si>
    <t>Cap nails are specialized fasteners used to secure roofing materials like synthetic underlayment. The wide plastic cap holds the material in place without tearing it, ensuring a strong and long-lasting installation.</t>
  </si>
  <si>
    <t xml:space="preserve">Roofing nails come in a coiled strip used with a nail gun. They provide secure fastening and consistent spacing, helping your roof perform reliably over time. </t>
  </si>
  <si>
    <t xml:space="preserve">Caulking is a flexible sealant used to fill gaps, cracks, and seams on your roof or around roof penetrations. It prevents water, air, and debris from entering the home. </t>
  </si>
  <si>
    <t>Paint is applied to the metal components of the roof for protection and aesthetics. It helps prevent rust and weathering while giving the roof a finished, clean appearance.</t>
  </si>
  <si>
    <t xml:space="preserve">Decking is the solid surface, usually made of plywood or OSB, that forms the bes of the roof. It provides structural support for shingles and roofing materials. </t>
  </si>
  <si>
    <t xml:space="preserve">Field shingles are the main shingles installed across the flat areas of roof. Class 4 rating means these shingles have been tested to withstand larger hail impacts than standard shingles. </t>
  </si>
  <si>
    <t xml:space="preserve">Hip and ridge shingles are specially shaped shingles installed along the roof's peak and angled outside corners. These areas take the most wind pressure, so these shingles are thicker ad stronger than regular field shingles. Class 4 are rated to withstand up to 2" hail storms. </t>
  </si>
  <si>
    <t>Field Tiles</t>
  </si>
  <si>
    <t>Hip and Ridge</t>
  </si>
  <si>
    <t>Foam Insulation</t>
  </si>
  <si>
    <t>2x2 Board</t>
  </si>
  <si>
    <t>1x2 batten</t>
  </si>
  <si>
    <t xml:space="preserve">Screws </t>
  </si>
  <si>
    <t>Nails for 2x2's</t>
  </si>
  <si>
    <t>Granules</t>
  </si>
  <si>
    <t>Decking</t>
  </si>
  <si>
    <t>Roll (10 Squares)</t>
  </si>
  <si>
    <t>Roll (1 Square)</t>
  </si>
  <si>
    <t>Bundle (100)</t>
  </si>
  <si>
    <t>Brava Starter</t>
  </si>
  <si>
    <t>Solid Tiles for Rake and Valley</t>
  </si>
  <si>
    <t>Field Membrane</t>
  </si>
  <si>
    <t>Flashing Membrane</t>
  </si>
  <si>
    <t>TPO Cleaner</t>
  </si>
  <si>
    <t>Insulation (iso)</t>
  </si>
  <si>
    <t>ISO Plates and Screws</t>
  </si>
  <si>
    <t>Pitch Pans</t>
  </si>
  <si>
    <t>Termination Bar</t>
  </si>
  <si>
    <t>Membrane Adhesive</t>
  </si>
  <si>
    <t>Membrane Plates and Screws</t>
  </si>
  <si>
    <t>Corner Flashing</t>
  </si>
  <si>
    <t>TPO Primer</t>
  </si>
  <si>
    <t>Cut-Edge Sealant</t>
  </si>
  <si>
    <t>Termination Bar Sealant</t>
  </si>
  <si>
    <t>Drains</t>
  </si>
  <si>
    <t>Walk Pads</t>
  </si>
  <si>
    <t>Labor</t>
  </si>
  <si>
    <t>Modified Cap Sheet</t>
  </si>
  <si>
    <t>Base Sheet</t>
  </si>
  <si>
    <t>Asphalt Primer</t>
  </si>
  <si>
    <t>Insulation (ISO)</t>
  </si>
  <si>
    <t>Modified Flashing Roll</t>
  </si>
  <si>
    <t>Gravel Stop</t>
  </si>
  <si>
    <t>Pipe Boots</t>
  </si>
  <si>
    <t>Cant Strip</t>
  </si>
  <si>
    <t>Sealant</t>
  </si>
  <si>
    <t>Extra Granules</t>
  </si>
  <si>
    <t>Plastic Cement</t>
  </si>
  <si>
    <t xml:space="preserve">Labor </t>
  </si>
  <si>
    <t>Box</t>
  </si>
  <si>
    <t xml:space="preserve">Bundle  </t>
  </si>
  <si>
    <t>Rake Trim</t>
  </si>
  <si>
    <t>Eave Trim</t>
  </si>
  <si>
    <t>Z Bar</t>
  </si>
  <si>
    <t>Valley Tray</t>
  </si>
  <si>
    <t xml:space="preserve">Field tiles are the main tiles installed across the flat areas of roof. Class 4 rating means these tiles have been tested to withstand larger hail impacts than standard concrete or clay tiles. </t>
  </si>
  <si>
    <t xml:space="preserve">Hip and ridge tiles are specially shaped tiles installed along the roof's peak and angled outside corners. These areas take the most wind pressure, so these tiles are thicker and stronger than regular field tiles. Class 4 are rated to withstand up to 2" hail storms. </t>
  </si>
  <si>
    <t xml:space="preserve">Rake Trim is a finishing piece installed along the sloped edges of a stone coated steel roof. It protects these exposed edges from wind-driven rain, uplift, and debris, which are common stress points on any roof system. </t>
  </si>
  <si>
    <t xml:space="preserve">Eave Trim is a finishing piece installed along the horizontal edges of a stone coated steel roof. It protects these exposed edges from wind-driven rain, uplift, and debris, which are common stress points on any roof system. </t>
  </si>
  <si>
    <t xml:space="preserve">Foam insulation is installed beneath the stone-coated steel panels to improve energy efficiency and overall perfomance. This rigid foam layer adds thermal insulation, helping keep the home cooler in the summer and warmer in the winter by reducing hear transfer through the roof. </t>
  </si>
  <si>
    <t xml:space="preserve">Z-bar flashing is a specially shaped metal flashing installed where the roof meets vertical surfaces, such as walls, chimneys, or headwalls. Its "Z" profile allows it to tuck behind the siding or wall covering while overlapping the roofing panels below. </t>
  </si>
  <si>
    <t xml:space="preserve">A valley tray is a heavy-duty metal channel installed in the valleys of a stone-coated steel roof. The tray provides a wide, durable pathway that guides rainwater safely down the roof and away from the home. </t>
  </si>
  <si>
    <t>A 2x2 is a 2" by 2" piece of lumber that is installed over the roof deck to create a raised framework for the stone-coated steel panels to sit on.</t>
  </si>
  <si>
    <t>A 1x2 is a 1" by 2" piece of lumber that is installed over the roof deck to create a raised framework for the stone-coated steel panels to sit on.</t>
  </si>
  <si>
    <t xml:space="preserve">Screws are installed through the panels into the wood framework of the 2x2's to allow for secure fastening. </t>
  </si>
  <si>
    <t xml:space="preserve">Nails secure the 2x2's into the roofs decking to ensure 2x2's are fastened correcly and are not vulnerable to uplift. </t>
  </si>
  <si>
    <t>Granules are installed on top of caulking to ensure a similar texture to the stone-coated steel panels at all seams. It also protects the caulking from UV rays.</t>
  </si>
  <si>
    <t>Roll (1 square)</t>
  </si>
  <si>
    <t>Bundle(10 Pieces)</t>
  </si>
  <si>
    <t>Bundle (5 Pieces)</t>
  </si>
  <si>
    <t xml:space="preserve">Solid synthetic tiles are specially deisgned synthetic roofing tiles used to finish and protect the exposed edges and transition points of the roof. </t>
  </si>
  <si>
    <t xml:space="preserve">Brava starter tiles are the first course of synthetic tiles installed along the lower edge of the roof before the main field tiles are laid. Their purpose is to create a straight, secure foundation that locks in the bottom row of the roofing system. </t>
  </si>
  <si>
    <t>These synthetic tiles are the main tiles installed across the flat areas of the roof These tiles are designed to replicate the look of natural materials like slate, shake, or clay.</t>
  </si>
  <si>
    <t xml:space="preserve">Brava Hip and ridge tiles a specially shaped synthetic tiles installed along the roof's peaks and angled corners. By matching the look and texture of field tiles, hip and ridge tiles complete the system both structurally and aesthetically. </t>
  </si>
  <si>
    <t>Thermoplastic Polyolefin (TPO) field membrane is a single‑ply roofing material designed to provide durable, energy‑efficient protection for commercial and residential buildings. It is installed across the main roof surface and heat‑welded at the seams to create a continuous, watertight layer. TPO is valued for its bright white reflective surface, which helps reduce cooling costs, and its resistance to UV rays, punctures, and chemical exposure. In short, the field membrane is the primary waterproofing layer that safeguards the entire roof system while offering long‑term performance and reliability.</t>
  </si>
  <si>
    <t>Thermoplastic Polyolefin (TPO) flashing membrane is a flexible sheet used to seal roof details such as walls, curbs, penetrations, and edges where the main field membrane cannot be applied directly. This flexibility allows roofers to easily form it around corners, pipes, and other irregular shapes, ensuring a watertight seal. While the field membrane covers the broad roof surface, flashing membrane is critical for protecting vulnerable transition areas and maintaining the integrity of the entire roofing system.</t>
  </si>
  <si>
    <t>TPO membrane cleaner is a specially formulated solution used to prepare and clean thermoplastic polyolefin (TPO) roofing surfaces before welding or applying adhesives. It removes dirt, oils, and contaminants that can interfere with proper bonding, ensuring strong, watertight seams and secure attachment of flashing or accessories. By thoroughly cleaning the membrane, this product helps maintain the integrity of the roof system and extends its service life.</t>
  </si>
  <si>
    <t>ISO is a rigid foam board placed under the roof membrane to add insulation and energy efficiency. It offers one of the highest R‑values per inch, helping reduce heating and cooling costs while providing a stable surface for the roofing system.</t>
  </si>
  <si>
    <t>ISO plates and screws are the fasteners used to secure insulation boards (like ISO) to the roof deck. The plates spread pressure across the board to prevent damage, while the screws anchor everything firmly in place. Together, they keep the insulation stable and ensure the roofing system performs as designed.</t>
  </si>
  <si>
    <t>Pitch pans are small, box‑like enclosures installed around roof penetrations such as pipes or conduits. They are filled with a pourable sealer to create a watertight barrier where standard flashing cannot be used. Pitch pans protect vulnerable spots on the roof by sealing irregular shapes and ensuring water does not enter around penetrations.</t>
  </si>
  <si>
    <t>Pipe boot flashing is a pre‑formed piece of material designed to seal around roof penetrations such as plumbing pipes or vents. It fits snugly over the pipe and ties into the roof membrane, creating a watertight barrier. This prevents leaks at one of the most common vulnerable points on a roof and ensures long‑term protection.</t>
  </si>
  <si>
    <t>A termination bar is a metal strip used to secure the edge of a roofing membrane to a wall or vertical surface. It provides a clean, tight finish and prevents water from getting behind the membrane. Termination bars are typically fastened with screws and sealed to ensure long‑lasting protection at roof transitions.</t>
  </si>
  <si>
    <t>Membrane adhesive is the bonding agent used to attach roofing membranes, like TPO, to the insulation or roof deck. It creates a secure, watertight hold without mechanical fasteners, helping ensure the membrane stays in place and performs reliably over time.</t>
  </si>
  <si>
    <t>Membrane plates and screws are fasteners used to secure the roofing membrane to the roof deck. The plates spread pressure across the membrane to prevent tearing, while the screws hold everything firmly in place. Together, they keep the membrane stable and watertight, especially in areas exposed to wind uplift.</t>
  </si>
  <si>
    <t>Corner flashing is a pre‑formed piece of membrane used to seal roof corners where two surfaces meet. It provides extra reinforcement at these vulnerable points, ensuring a watertight seal and preventing leaks. Corner flashing helps maintain the durability and integrity of the roofing system.</t>
  </si>
  <si>
    <t>TPO primer is a liquid applied to roofing surfaces before using adhesives or tapes. It cleans and conditions the membrane, ensuring stronger bonds and watertight seams. Primers are especially important when attaching flashing or accessories to the TPO system.</t>
  </si>
  <si>
    <t>Cut‑edge sealant is applied to exposed edges of roofing membranes after cutting. It protects the membrane’s reinforcement layer from moisture and weather, preventing fraying or deterioration. This added layer of protection helps extend the life of the roof system.</t>
  </si>
  <si>
    <t>Termination bar sealant is applied along the top edge of a termination bar after it’s fastened. It creates a watertight seal between the roofing membrane and the wall or surface, preventing water from getting behind the bar. This added protection ensures long‑term durability at roof transitions.</t>
  </si>
  <si>
    <t>A TPO drip edge is a metal edging installed along the perimeter of the roof. It directs water away from the building and protects the roof’s edges from wind uplift and moisture damage. The TPO membrane is heat‑welded to the drip edge, creating a secure, watertight finish.</t>
  </si>
  <si>
    <t>TPO drains are roof drains designed to integrate with the TPO membrane system. They provide a watertight connection where water exits the roof, preventing leaks at one of the most critical points. The TPO membrane is heat‑welded to the drain flange, ensuring durability and long‑term performance.</t>
  </si>
  <si>
    <t>Walkway pads are protective sections installed on top of the roof membrane in high‑traffic areas. They provide a safe, slip‑resistant surface for foot traffic and protect the membrane from damage during maintenance or inspections. This helps extend the life of the roof while keeping service personnel safe.</t>
  </si>
  <si>
    <t>Labor refers to the skilled work performed by roofing crews during installation or repair. It includes tasks such as preparing the roof deck, installing insulation, fastening membranes, and sealing details. Quality labor ensures the roofing system is installed correctly, watertight, and built to last.</t>
  </si>
  <si>
    <t>5 Gal</t>
  </si>
  <si>
    <t>Box (1000)</t>
  </si>
  <si>
    <t>1 Gal</t>
  </si>
  <si>
    <t>Each (10 linear feet)</t>
  </si>
  <si>
    <t>Each (150 sq ft)</t>
  </si>
  <si>
    <t>Per Square</t>
  </si>
  <si>
    <t>Each (16 oz)</t>
  </si>
  <si>
    <t>Roll (2 squares)</t>
  </si>
  <si>
    <t>Each (50 Pounds)</t>
  </si>
  <si>
    <t>Per square</t>
  </si>
  <si>
    <t>1" thick $17.39</t>
  </si>
  <si>
    <t>Bundle (96 Linear feet)</t>
  </si>
  <si>
    <t>A modified cap sheet is a durable roofing layer made of asphalt enhanced with polymers and reinforced with fiberglass or polyester, providing superior flexibility, weather resistance, and UV protection compared to standard asphalt.</t>
  </si>
  <si>
    <t>A modified base sheet is the foundation layer in a roofing system, made of asphalt blended with polymers and reinforced with fiberglass or polyester. It provides strength, flexibility, and a stable surface for the cap sheet to adhere to, ensuring the roof system is durable and weather‑resistant.</t>
  </si>
  <si>
    <t>An asphalt primer is a thin liquid coating applied to roofing surfaces before installing membranes or sheets. It penetrates and seals the surface, improving adhesion and ensuring the roofing layers bond securely for a longer‑lasting, watertight system.</t>
  </si>
  <si>
    <t>A modified flashing roll is a flexible, asphalt‑based material reinforced with polymers, designed to seal roof edges, joints, and penetrations. It provides a watertight barrier and ties the roof system together, preventing leaks where different surfaces meet</t>
  </si>
  <si>
    <t>Gravel stop edge flashing is a metal trim installed along the perimeter of a roof to secure the edges of roofing materials and prevent loose gravel or debris from washing off. It also directs water away from the roof edge, protecting fascia and walls while giving the roof a clean, finished look</t>
  </si>
  <si>
    <t>A lead jack pipe boot is a protective flashing piece made of malleable lead, installed around roof penetrations such as plumbing vent pipes. It forms a watertight seal by molding tightly to the pipe and roof surface, preventing leaks while allowing long‑term durability against weather and movement.</t>
  </si>
  <si>
    <t>A cant strip is a beveled piece of wood, fiberboard, or other material installed at the angle where a flat roof meets a vertical surface (like a wall or curb). Its sloped shape eases the transition between surfaces, helping roofing membranes bend smoothly without cracking and improving water runoff at those joints.</t>
  </si>
  <si>
    <t>Sealant is a flexible, protective material applied to joints, seams, or penetrations in a roof system. Its job is to fill gaps and create a watertight barrier, preventing leaks while allowing the roof to expand and contract with temperature changes.</t>
  </si>
  <si>
    <t>Extra granules are loose roofing granules applied over fresh sealant or asphalt to match the surrounding roof surface. They help protect exposed areas from UV damage, improve durability, and blend repairs seamlessly with the existing roof finish.</t>
  </si>
  <si>
    <t>Plastic cement is a thick, asphalt‑based adhesive used in roofing to seal joints, flashings, and small repairs. It stays pliable, creating a watertight bond that resists cracking and weathering, making it ideal for patching leaks or securing materials in place.</t>
  </si>
  <si>
    <t>Price for Crew to install shingles</t>
  </si>
  <si>
    <t>Price for crew to install shingles</t>
  </si>
  <si>
    <t>Price for crew to install materials</t>
  </si>
  <si>
    <t>For standing seam, we pay one price for material and labor</t>
  </si>
  <si>
    <t>Price per Square</t>
  </si>
  <si>
    <t>Tear Off</t>
  </si>
  <si>
    <t>To tear off existing shingle roof</t>
  </si>
  <si>
    <t xml:space="preserve">Decking is the solid surface, usually made of plywood or OSB, that forms the bec of the roof. It provides structural support for shingles and roofing materials. </t>
  </si>
  <si>
    <t>Material and Labor</t>
  </si>
  <si>
    <t>Price Per Unit(Lower)</t>
  </si>
  <si>
    <t>Price Per Unit(Upper)</t>
  </si>
  <si>
    <t>2.2" thick $29.76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</si>
</sst>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6" fontId="0" fillId="0" borderId="0" xfId="0" applyNumberFormat="1"/>
    <xf numFmtId="8" fontId="0" fillId="0" borderId="0" xfId="0" applyNumberFormat="1"/>
    <xf numFmtId="6" fontId="0" fillId="0" borderId="0" xfId="0" applyNumberFormat="1" applyAlignment="1">
      <alignment wrapText="1"/>
    </xf>
    <xf numFmtId="8" fontId="0" fillId="0" borderId="0" xfId="0" applyNumberFormat="1" applyAlignment="1">
      <alignment wrapText="1"/>
    </xf>
    <xf numFmtId="0" fontId="1" fillId="2" borderId="0" xfId="0" applyFont="1" applyFill="1" applyAlignment="1">
      <alignment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66F49-C25A-4113-A217-B17FA39259A7}">
  <dimension ref="A1:E18"/>
  <sheetViews>
    <sheetView workbookViewId="0">
      <pane ySplit="1" topLeftCell="A5" activePane="bottomLeft" state="frozen"/>
      <selection pane="bottomLeft" activeCell="F20" sqref="F20"/>
    </sheetView>
  </sheetViews>
  <sheetFormatPr defaultRowHeight="15" x14ac:dyDescent="0.25"/>
  <cols>
    <col min="1" max="1" width="17.85546875" customWidth="1"/>
    <col min="2" max="2" width="35.7109375" style="1" customWidth="1"/>
    <col min="3" max="5" width="17.85546875" customWidth="1"/>
  </cols>
  <sheetData>
    <row r="1" spans="1:5" ht="30" x14ac:dyDescent="0.25">
      <c r="A1" s="6" t="s">
        <v>0</v>
      </c>
      <c r="B1" s="6" t="s">
        <v>1</v>
      </c>
      <c r="C1" s="6" t="s">
        <v>2</v>
      </c>
      <c r="D1" s="6" t="s">
        <v>3</v>
      </c>
      <c r="E1" s="6" t="s">
        <v>4</v>
      </c>
    </row>
    <row r="2" spans="1:5" ht="75" x14ac:dyDescent="0.25">
      <c r="A2" s="1" t="s">
        <v>19</v>
      </c>
      <c r="B2" s="1" t="s">
        <v>34</v>
      </c>
      <c r="C2" t="s">
        <v>30</v>
      </c>
      <c r="D2" s="2">
        <v>94</v>
      </c>
      <c r="E2" s="3">
        <v>131.97</v>
      </c>
    </row>
    <row r="3" spans="1:5" ht="105" x14ac:dyDescent="0.25">
      <c r="A3" s="1" t="s">
        <v>5</v>
      </c>
      <c r="B3" s="1" t="s">
        <v>35</v>
      </c>
      <c r="C3" t="s">
        <v>31</v>
      </c>
      <c r="D3" s="2">
        <v>65</v>
      </c>
      <c r="E3" s="3">
        <v>116</v>
      </c>
    </row>
    <row r="4" spans="1:5" ht="60" x14ac:dyDescent="0.25">
      <c r="A4" s="1" t="s">
        <v>6</v>
      </c>
      <c r="B4" s="1" t="s">
        <v>33</v>
      </c>
      <c r="C4" t="s">
        <v>20</v>
      </c>
      <c r="D4" s="2">
        <v>84</v>
      </c>
      <c r="E4" s="3">
        <v>159.80000000000001</v>
      </c>
    </row>
    <row r="5" spans="1:5" ht="105" x14ac:dyDescent="0.25">
      <c r="A5" s="1" t="s">
        <v>7</v>
      </c>
      <c r="B5" s="1" t="s">
        <v>36</v>
      </c>
      <c r="C5" t="s">
        <v>21</v>
      </c>
      <c r="D5" s="2">
        <v>55</v>
      </c>
      <c r="E5" s="3">
        <v>139.5</v>
      </c>
    </row>
    <row r="6" spans="1:5" ht="105" x14ac:dyDescent="0.25">
      <c r="A6" s="1" t="s">
        <v>8</v>
      </c>
      <c r="B6" s="1" t="s">
        <v>37</v>
      </c>
      <c r="C6" t="s">
        <v>22</v>
      </c>
      <c r="D6" s="3">
        <v>6.1</v>
      </c>
      <c r="E6" s="3">
        <v>9.1</v>
      </c>
    </row>
    <row r="7" spans="1:5" ht="105" x14ac:dyDescent="0.25">
      <c r="A7" s="1" t="s">
        <v>9</v>
      </c>
      <c r="B7" s="1" t="s">
        <v>38</v>
      </c>
      <c r="C7" t="s">
        <v>23</v>
      </c>
      <c r="D7" s="3">
        <v>8.3800000000000008</v>
      </c>
      <c r="E7" s="3">
        <v>16.98</v>
      </c>
    </row>
    <row r="8" spans="1:5" ht="75" x14ac:dyDescent="0.25">
      <c r="A8" s="1" t="s">
        <v>39</v>
      </c>
      <c r="B8" s="1" t="s">
        <v>40</v>
      </c>
      <c r="C8" t="s">
        <v>24</v>
      </c>
      <c r="D8" s="3">
        <v>19.98</v>
      </c>
      <c r="E8" s="3">
        <v>44.31</v>
      </c>
    </row>
    <row r="9" spans="1:5" ht="90" x14ac:dyDescent="0.25">
      <c r="A9" s="1" t="s">
        <v>10</v>
      </c>
      <c r="B9" s="1" t="s">
        <v>41</v>
      </c>
      <c r="C9" t="s">
        <v>24</v>
      </c>
      <c r="D9" s="3">
        <v>19.5</v>
      </c>
      <c r="E9" s="3">
        <v>446.75</v>
      </c>
    </row>
    <row r="10" spans="1:5" ht="90" x14ac:dyDescent="0.25">
      <c r="A10" s="1" t="s">
        <v>11</v>
      </c>
      <c r="B10" s="1" t="s">
        <v>42</v>
      </c>
      <c r="C10" s="1" t="s">
        <v>25</v>
      </c>
      <c r="D10" s="2">
        <v>60</v>
      </c>
      <c r="E10" s="2">
        <v>160</v>
      </c>
    </row>
    <row r="11" spans="1:5" ht="105" x14ac:dyDescent="0.25">
      <c r="A11" s="1" t="s">
        <v>12</v>
      </c>
      <c r="B11" s="1" t="s">
        <v>43</v>
      </c>
      <c r="C11" t="s">
        <v>32</v>
      </c>
      <c r="D11" s="3">
        <v>65.25</v>
      </c>
      <c r="E11" s="3">
        <v>65.25</v>
      </c>
    </row>
    <row r="12" spans="1:5" ht="75" x14ac:dyDescent="0.25">
      <c r="A12" s="1" t="s">
        <v>13</v>
      </c>
      <c r="B12" s="1" t="s">
        <v>44</v>
      </c>
      <c r="C12" t="s">
        <v>26</v>
      </c>
      <c r="D12" s="3">
        <v>75.45</v>
      </c>
      <c r="E12" s="3">
        <v>122.9</v>
      </c>
    </row>
    <row r="13" spans="1:5" ht="90" x14ac:dyDescent="0.25">
      <c r="A13" s="1" t="s">
        <v>14</v>
      </c>
      <c r="B13" s="1" t="s">
        <v>45</v>
      </c>
      <c r="C13" t="s">
        <v>27</v>
      </c>
      <c r="D13" s="3">
        <v>17.3</v>
      </c>
      <c r="E13" s="3">
        <v>17.3</v>
      </c>
    </row>
    <row r="14" spans="1:5" ht="75" x14ac:dyDescent="0.25">
      <c r="A14" s="1" t="s">
        <v>15</v>
      </c>
      <c r="B14" s="1" t="s">
        <v>46</v>
      </c>
      <c r="C14" t="s">
        <v>28</v>
      </c>
      <c r="D14" s="2">
        <v>54</v>
      </c>
      <c r="E14" s="2">
        <v>54</v>
      </c>
    </row>
    <row r="15" spans="1:5" ht="75" x14ac:dyDescent="0.25">
      <c r="A15" s="1" t="s">
        <v>16</v>
      </c>
      <c r="B15" s="1" t="s">
        <v>47</v>
      </c>
      <c r="C15" t="s">
        <v>24</v>
      </c>
      <c r="D15" s="3">
        <v>6.13</v>
      </c>
      <c r="E15" s="3">
        <v>8.07</v>
      </c>
    </row>
    <row r="16" spans="1:5" ht="75" x14ac:dyDescent="0.25">
      <c r="A16" s="1" t="s">
        <v>17</v>
      </c>
      <c r="B16" s="1" t="s">
        <v>48</v>
      </c>
      <c r="C16" t="s">
        <v>24</v>
      </c>
      <c r="D16" s="3">
        <v>8.9600000000000009</v>
      </c>
      <c r="E16" s="3">
        <v>8.9600000000000009</v>
      </c>
    </row>
    <row r="17" spans="1:5" ht="75" x14ac:dyDescent="0.25">
      <c r="A17" s="1" t="s">
        <v>18</v>
      </c>
      <c r="B17" s="1" t="s">
        <v>49</v>
      </c>
      <c r="C17" t="s">
        <v>29</v>
      </c>
      <c r="D17" s="3">
        <v>18</v>
      </c>
      <c r="E17" s="3">
        <v>23</v>
      </c>
    </row>
    <row r="18" spans="1:5" x14ac:dyDescent="0.25">
      <c r="A18" s="1" t="s">
        <v>93</v>
      </c>
      <c r="B18" s="1" t="s">
        <v>159</v>
      </c>
      <c r="C18" t="s">
        <v>142</v>
      </c>
      <c r="D18" s="2">
        <v>65</v>
      </c>
      <c r="E18" s="2">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DC72-E23E-45D4-BA55-DB36E68A7E2B}">
  <dimension ref="A1:E18"/>
  <sheetViews>
    <sheetView workbookViewId="0">
      <pane ySplit="1" topLeftCell="A13" activePane="bottomLeft" state="frozen"/>
      <selection pane="bottomLeft" activeCell="F20" sqref="F20"/>
    </sheetView>
  </sheetViews>
  <sheetFormatPr defaultRowHeight="15" x14ac:dyDescent="0.25"/>
  <cols>
    <col min="1" max="1" width="17.85546875" customWidth="1"/>
    <col min="2" max="2" width="35.7109375" customWidth="1"/>
    <col min="3" max="5" width="17.85546875" customWidth="1"/>
  </cols>
  <sheetData>
    <row r="1" spans="1:5" ht="30" x14ac:dyDescent="0.25">
      <c r="A1" s="6" t="s">
        <v>0</v>
      </c>
      <c r="B1" s="6" t="s">
        <v>1</v>
      </c>
      <c r="C1" s="6" t="s">
        <v>2</v>
      </c>
      <c r="D1" s="6" t="s">
        <v>3</v>
      </c>
      <c r="E1" s="6" t="s">
        <v>4</v>
      </c>
    </row>
    <row r="2" spans="1:5" ht="75" x14ac:dyDescent="0.25">
      <c r="A2" s="1" t="s">
        <v>19</v>
      </c>
      <c r="B2" s="1" t="s">
        <v>50</v>
      </c>
      <c r="C2" s="1" t="s">
        <v>30</v>
      </c>
      <c r="D2" s="4">
        <v>125</v>
      </c>
      <c r="E2" s="5">
        <v>173</v>
      </c>
    </row>
    <row r="3" spans="1:5" ht="120" x14ac:dyDescent="0.25">
      <c r="A3" s="1" t="s">
        <v>5</v>
      </c>
      <c r="B3" s="1" t="s">
        <v>51</v>
      </c>
      <c r="C3" s="1" t="s">
        <v>31</v>
      </c>
      <c r="D3" s="4">
        <v>85</v>
      </c>
      <c r="E3" s="5">
        <v>132.55000000000001</v>
      </c>
    </row>
    <row r="4" spans="1:5" ht="60" x14ac:dyDescent="0.25">
      <c r="A4" s="1" t="s">
        <v>6</v>
      </c>
      <c r="B4" s="1" t="s">
        <v>33</v>
      </c>
      <c r="C4" s="1" t="s">
        <v>20</v>
      </c>
      <c r="D4" s="4">
        <v>84</v>
      </c>
      <c r="E4" s="5">
        <v>159.80000000000001</v>
      </c>
    </row>
    <row r="5" spans="1:5" ht="105" x14ac:dyDescent="0.25">
      <c r="A5" s="1" t="s">
        <v>7</v>
      </c>
      <c r="B5" s="1" t="s">
        <v>36</v>
      </c>
      <c r="C5" s="1" t="s">
        <v>21</v>
      </c>
      <c r="D5" s="4">
        <v>55</v>
      </c>
      <c r="E5" s="5">
        <v>139.5</v>
      </c>
    </row>
    <row r="6" spans="1:5" ht="105" x14ac:dyDescent="0.25">
      <c r="A6" s="1" t="s">
        <v>8</v>
      </c>
      <c r="B6" s="1" t="s">
        <v>37</v>
      </c>
      <c r="C6" s="1" t="s">
        <v>22</v>
      </c>
      <c r="D6" s="5">
        <v>6.1</v>
      </c>
      <c r="E6" s="5">
        <v>9.1</v>
      </c>
    </row>
    <row r="7" spans="1:5" ht="105" x14ac:dyDescent="0.25">
      <c r="A7" s="1" t="s">
        <v>9</v>
      </c>
      <c r="B7" s="1" t="s">
        <v>38</v>
      </c>
      <c r="C7" s="1" t="s">
        <v>23</v>
      </c>
      <c r="D7" s="5">
        <v>8.3800000000000008</v>
      </c>
      <c r="E7" s="5">
        <v>16.98</v>
      </c>
    </row>
    <row r="8" spans="1:5" ht="75" x14ac:dyDescent="0.25">
      <c r="A8" s="1" t="s">
        <v>39</v>
      </c>
      <c r="B8" s="1" t="s">
        <v>40</v>
      </c>
      <c r="C8" s="1" t="s">
        <v>24</v>
      </c>
      <c r="D8" s="5">
        <v>19.98</v>
      </c>
      <c r="E8" s="5">
        <v>44.31</v>
      </c>
    </row>
    <row r="9" spans="1:5" ht="90" x14ac:dyDescent="0.25">
      <c r="A9" s="1" t="s">
        <v>10</v>
      </c>
      <c r="B9" s="1" t="s">
        <v>41</v>
      </c>
      <c r="C9" s="1" t="s">
        <v>24</v>
      </c>
      <c r="D9" s="5">
        <v>19.5</v>
      </c>
      <c r="E9" s="5">
        <v>446.75</v>
      </c>
    </row>
    <row r="10" spans="1:5" ht="90" x14ac:dyDescent="0.25">
      <c r="A10" s="1" t="s">
        <v>11</v>
      </c>
      <c r="B10" s="1" t="s">
        <v>42</v>
      </c>
      <c r="C10" s="1" t="s">
        <v>25</v>
      </c>
      <c r="D10" s="4">
        <v>60</v>
      </c>
      <c r="E10" s="4">
        <v>160</v>
      </c>
    </row>
    <row r="11" spans="1:5" ht="105" x14ac:dyDescent="0.25">
      <c r="A11" s="1" t="s">
        <v>12</v>
      </c>
      <c r="B11" s="1" t="s">
        <v>43</v>
      </c>
      <c r="C11" s="1" t="s">
        <v>32</v>
      </c>
      <c r="D11" s="5">
        <v>65.25</v>
      </c>
      <c r="E11" s="5">
        <v>65.25</v>
      </c>
    </row>
    <row r="12" spans="1:5" ht="75" x14ac:dyDescent="0.25">
      <c r="A12" s="1" t="s">
        <v>13</v>
      </c>
      <c r="B12" s="1" t="s">
        <v>44</v>
      </c>
      <c r="C12" s="1" t="s">
        <v>26</v>
      </c>
      <c r="D12" s="5">
        <v>75.45</v>
      </c>
      <c r="E12" s="5">
        <v>122.9</v>
      </c>
    </row>
    <row r="13" spans="1:5" ht="90" x14ac:dyDescent="0.25">
      <c r="A13" s="1" t="s">
        <v>14</v>
      </c>
      <c r="B13" s="1" t="s">
        <v>45</v>
      </c>
      <c r="C13" s="1" t="s">
        <v>27</v>
      </c>
      <c r="D13" s="5">
        <v>17.3</v>
      </c>
      <c r="E13" s="5">
        <v>17.3</v>
      </c>
    </row>
    <row r="14" spans="1:5" ht="75" x14ac:dyDescent="0.25">
      <c r="A14" s="1" t="s">
        <v>15</v>
      </c>
      <c r="B14" s="1" t="s">
        <v>46</v>
      </c>
      <c r="C14" s="1" t="s">
        <v>28</v>
      </c>
      <c r="D14" s="4">
        <v>54</v>
      </c>
      <c r="E14" s="4">
        <v>54</v>
      </c>
    </row>
    <row r="15" spans="1:5" ht="75" x14ac:dyDescent="0.25">
      <c r="A15" s="1" t="s">
        <v>16</v>
      </c>
      <c r="B15" s="1" t="s">
        <v>47</v>
      </c>
      <c r="C15" s="1" t="s">
        <v>24</v>
      </c>
      <c r="D15" s="5">
        <v>6.13</v>
      </c>
      <c r="E15" s="5">
        <v>8.07</v>
      </c>
    </row>
    <row r="16" spans="1:5" ht="75" x14ac:dyDescent="0.25">
      <c r="A16" s="1" t="s">
        <v>17</v>
      </c>
      <c r="B16" s="1" t="s">
        <v>48</v>
      </c>
      <c r="C16" s="1" t="s">
        <v>24</v>
      </c>
      <c r="D16" s="5">
        <v>8.9600000000000009</v>
      </c>
      <c r="E16" s="5">
        <v>8.9600000000000009</v>
      </c>
    </row>
    <row r="17" spans="1:5" ht="75" x14ac:dyDescent="0.25">
      <c r="A17" s="1" t="s">
        <v>18</v>
      </c>
      <c r="B17" s="1" t="s">
        <v>49</v>
      </c>
      <c r="C17" s="1" t="s">
        <v>29</v>
      </c>
      <c r="D17" s="5">
        <v>18</v>
      </c>
      <c r="E17" s="5">
        <v>23</v>
      </c>
    </row>
    <row r="18" spans="1:5" x14ac:dyDescent="0.25">
      <c r="A18" s="1" t="s">
        <v>81</v>
      </c>
      <c r="B18" s="1" t="s">
        <v>160</v>
      </c>
      <c r="C18" s="1" t="s">
        <v>142</v>
      </c>
      <c r="D18" s="2">
        <v>65</v>
      </c>
      <c r="E18" s="2">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0DE0A-EE6D-493F-8697-34D873F5C8FF}">
  <dimension ref="A1:E23"/>
  <sheetViews>
    <sheetView workbookViewId="0">
      <pane ySplit="1" topLeftCell="A19" activePane="bottomLeft" state="frozen"/>
      <selection pane="bottomLeft" activeCell="B1" sqref="B1"/>
    </sheetView>
  </sheetViews>
  <sheetFormatPr defaultRowHeight="15" x14ac:dyDescent="0.25"/>
  <cols>
    <col min="1" max="1" width="17.85546875" customWidth="1"/>
    <col min="2" max="2" width="35.42578125" style="1" customWidth="1"/>
    <col min="3" max="3" width="18" customWidth="1"/>
    <col min="4" max="4" width="24.85546875" customWidth="1"/>
    <col min="5" max="5" width="27.28515625" customWidth="1"/>
  </cols>
  <sheetData>
    <row r="1" spans="1:5" ht="30" x14ac:dyDescent="0.25">
      <c r="A1" s="6" t="s">
        <v>0</v>
      </c>
      <c r="B1" s="6" t="s">
        <v>1</v>
      </c>
      <c r="C1" s="6" t="s">
        <v>2</v>
      </c>
      <c r="D1" s="6" t="s">
        <v>168</v>
      </c>
      <c r="E1" s="6" t="s">
        <v>169</v>
      </c>
    </row>
    <row r="2" spans="1:5" ht="75" x14ac:dyDescent="0.25">
      <c r="A2" s="1" t="s">
        <v>52</v>
      </c>
      <c r="B2" s="1" t="s">
        <v>100</v>
      </c>
      <c r="C2" t="s">
        <v>146</v>
      </c>
      <c r="D2" s="3">
        <v>180</v>
      </c>
      <c r="E2" s="2">
        <v>180</v>
      </c>
    </row>
    <row r="3" spans="1:5" ht="120" x14ac:dyDescent="0.25">
      <c r="A3" s="1" t="s">
        <v>53</v>
      </c>
      <c r="B3" s="1" t="s">
        <v>101</v>
      </c>
      <c r="C3" t="s">
        <v>94</v>
      </c>
      <c r="D3" s="3">
        <v>230.05</v>
      </c>
      <c r="E3" s="3">
        <v>230.05</v>
      </c>
    </row>
    <row r="4" spans="1:5" ht="60" x14ac:dyDescent="0.25">
      <c r="A4" s="1" t="s">
        <v>6</v>
      </c>
      <c r="B4" s="1" t="s">
        <v>33</v>
      </c>
      <c r="C4" t="s">
        <v>61</v>
      </c>
      <c r="D4" s="2">
        <v>89</v>
      </c>
      <c r="E4" s="2">
        <v>120</v>
      </c>
    </row>
    <row r="5" spans="1:5" ht="105" x14ac:dyDescent="0.25">
      <c r="A5" s="1" t="s">
        <v>7</v>
      </c>
      <c r="B5" s="1" t="s">
        <v>36</v>
      </c>
      <c r="C5" t="s">
        <v>62</v>
      </c>
      <c r="D5" s="2">
        <v>55</v>
      </c>
      <c r="E5" s="2">
        <v>120</v>
      </c>
    </row>
    <row r="6" spans="1:5" ht="105" x14ac:dyDescent="0.25">
      <c r="A6" s="1" t="s">
        <v>96</v>
      </c>
      <c r="B6" s="1" t="s">
        <v>102</v>
      </c>
      <c r="C6" t="s">
        <v>24</v>
      </c>
      <c r="D6" s="2">
        <v>10</v>
      </c>
      <c r="E6" s="2">
        <v>10</v>
      </c>
    </row>
    <row r="7" spans="1:5" ht="90" x14ac:dyDescent="0.25">
      <c r="A7" s="1" t="s">
        <v>97</v>
      </c>
      <c r="B7" s="1" t="s">
        <v>103</v>
      </c>
      <c r="C7" t="s">
        <v>24</v>
      </c>
      <c r="D7" s="3">
        <v>7.73</v>
      </c>
      <c r="E7" s="3">
        <v>7.73</v>
      </c>
    </row>
    <row r="8" spans="1:5" ht="105" x14ac:dyDescent="0.25">
      <c r="A8" s="1" t="s">
        <v>9</v>
      </c>
      <c r="B8" s="1" t="s">
        <v>38</v>
      </c>
      <c r="C8" t="s">
        <v>24</v>
      </c>
      <c r="D8" s="2">
        <v>8</v>
      </c>
      <c r="E8" s="2">
        <v>16</v>
      </c>
    </row>
    <row r="9" spans="1:5" ht="75" x14ac:dyDescent="0.25">
      <c r="A9" s="1" t="s">
        <v>39</v>
      </c>
      <c r="B9" s="1" t="s">
        <v>40</v>
      </c>
      <c r="C9" t="s">
        <v>24</v>
      </c>
      <c r="D9" s="2">
        <v>20</v>
      </c>
      <c r="E9" s="2">
        <v>44</v>
      </c>
    </row>
    <row r="10" spans="1:5" ht="90" x14ac:dyDescent="0.25">
      <c r="A10" s="1" t="s">
        <v>10</v>
      </c>
      <c r="B10" s="1" t="s">
        <v>41</v>
      </c>
      <c r="C10" t="s">
        <v>24</v>
      </c>
      <c r="D10" s="3">
        <v>19.5</v>
      </c>
      <c r="E10" s="2">
        <v>446</v>
      </c>
    </row>
    <row r="11" spans="1:5" ht="120" x14ac:dyDescent="0.25">
      <c r="A11" s="1" t="s">
        <v>54</v>
      </c>
      <c r="B11" s="1" t="s">
        <v>104</v>
      </c>
      <c r="C11" t="s">
        <v>95</v>
      </c>
      <c r="D11" s="3">
        <v>119.28</v>
      </c>
      <c r="E11" s="3">
        <v>119.28</v>
      </c>
    </row>
    <row r="12" spans="1:5" ht="105" x14ac:dyDescent="0.25">
      <c r="A12" s="1" t="s">
        <v>12</v>
      </c>
      <c r="B12" s="1" t="s">
        <v>43</v>
      </c>
      <c r="C12" t="s">
        <v>63</v>
      </c>
      <c r="D12" s="3">
        <v>65.25</v>
      </c>
      <c r="E12" s="3">
        <v>65.25</v>
      </c>
    </row>
    <row r="13" spans="1:5" ht="105" x14ac:dyDescent="0.25">
      <c r="A13" s="1" t="s">
        <v>98</v>
      </c>
      <c r="B13" s="1" t="s">
        <v>105</v>
      </c>
      <c r="C13" t="s">
        <v>24</v>
      </c>
      <c r="D13" s="3">
        <v>7.73</v>
      </c>
      <c r="E13" s="3">
        <v>7.73</v>
      </c>
    </row>
    <row r="14" spans="1:5" ht="90" x14ac:dyDescent="0.25">
      <c r="A14" s="1" t="s">
        <v>99</v>
      </c>
      <c r="B14" s="1" t="s">
        <v>106</v>
      </c>
      <c r="C14" t="s">
        <v>24</v>
      </c>
      <c r="D14" s="3">
        <v>8.64</v>
      </c>
      <c r="E14" s="3">
        <v>8.64</v>
      </c>
    </row>
    <row r="15" spans="1:5" ht="90" x14ac:dyDescent="0.25">
      <c r="A15" s="1" t="s">
        <v>14</v>
      </c>
      <c r="B15" s="1" t="s">
        <v>45</v>
      </c>
      <c r="C15" t="s">
        <v>27</v>
      </c>
      <c r="D15" s="2">
        <v>17</v>
      </c>
      <c r="E15" s="2">
        <v>17</v>
      </c>
    </row>
    <row r="16" spans="1:5" ht="60" x14ac:dyDescent="0.25">
      <c r="A16" s="1" t="s">
        <v>55</v>
      </c>
      <c r="B16" s="1" t="s">
        <v>107</v>
      </c>
      <c r="C16" t="s">
        <v>24</v>
      </c>
      <c r="D16" s="3">
        <v>3.1</v>
      </c>
      <c r="E16" s="3">
        <v>3.1</v>
      </c>
    </row>
    <row r="17" spans="1:5" ht="75" x14ac:dyDescent="0.25">
      <c r="A17" s="1" t="s">
        <v>16</v>
      </c>
      <c r="B17" s="1" t="s">
        <v>47</v>
      </c>
      <c r="C17" t="s">
        <v>24</v>
      </c>
      <c r="D17" s="3">
        <v>8.8699999999999992</v>
      </c>
      <c r="E17" s="3">
        <v>8.8699999999999992</v>
      </c>
    </row>
    <row r="18" spans="1:5" ht="60" x14ac:dyDescent="0.25">
      <c r="A18" s="1" t="s">
        <v>56</v>
      </c>
      <c r="B18" s="1" t="s">
        <v>108</v>
      </c>
      <c r="C18" t="s">
        <v>23</v>
      </c>
      <c r="D18" s="3">
        <v>1.55</v>
      </c>
      <c r="E18" s="3">
        <v>1.55</v>
      </c>
    </row>
    <row r="19" spans="1:5" ht="45" x14ac:dyDescent="0.25">
      <c r="A19" s="1" t="s">
        <v>57</v>
      </c>
      <c r="B19" s="1" t="s">
        <v>109</v>
      </c>
      <c r="C19" t="s">
        <v>27</v>
      </c>
      <c r="D19" s="3">
        <v>304.10000000000002</v>
      </c>
      <c r="E19" s="3">
        <v>304.10000000000002</v>
      </c>
    </row>
    <row r="20" spans="1:5" ht="60" x14ac:dyDescent="0.25">
      <c r="A20" s="1" t="s">
        <v>58</v>
      </c>
      <c r="B20" s="1" t="s">
        <v>110</v>
      </c>
      <c r="C20" t="s">
        <v>94</v>
      </c>
      <c r="D20" s="3">
        <v>191.3</v>
      </c>
      <c r="E20" s="3">
        <v>191.3</v>
      </c>
    </row>
    <row r="21" spans="1:5" ht="75" x14ac:dyDescent="0.25">
      <c r="A21" s="1" t="s">
        <v>59</v>
      </c>
      <c r="B21" s="1" t="s">
        <v>111</v>
      </c>
      <c r="C21" t="s">
        <v>24</v>
      </c>
      <c r="D21" s="3">
        <v>4.55</v>
      </c>
      <c r="E21" s="3">
        <v>4.55</v>
      </c>
    </row>
    <row r="22" spans="1:5" ht="75" x14ac:dyDescent="0.25">
      <c r="A22" s="1" t="s">
        <v>60</v>
      </c>
      <c r="B22" s="1" t="s">
        <v>166</v>
      </c>
      <c r="C22" t="s">
        <v>24</v>
      </c>
      <c r="D22" s="2">
        <v>20</v>
      </c>
      <c r="E22" s="3">
        <v>30</v>
      </c>
    </row>
    <row r="23" spans="1:5" x14ac:dyDescent="0.25">
      <c r="A23" s="1" t="s">
        <v>81</v>
      </c>
      <c r="B23" s="1" t="s">
        <v>161</v>
      </c>
      <c r="C23" t="s">
        <v>146</v>
      </c>
      <c r="D23" s="2">
        <v>200</v>
      </c>
      <c r="E23" s="3">
        <v>250</v>
      </c>
    </row>
  </sheetData>
  <pageMargins left="0.7" right="0.7" top="0.75" bottom="0.75" header="0.3" footer="0.3"/>
  <pageSetup paperSiz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4FB00-CA27-4018-A37D-529C6B635178}">
  <dimension ref="A1:E4"/>
  <sheetViews>
    <sheetView workbookViewId="0">
      <selection activeCell="M7" sqref="M7"/>
    </sheetView>
  </sheetViews>
  <sheetFormatPr defaultRowHeight="15" x14ac:dyDescent="0.25"/>
  <cols>
    <col min="1" max="1" width="17.5703125" customWidth="1"/>
    <col min="2" max="2" width="17.85546875" customWidth="1"/>
    <col min="3" max="3" width="26.5703125" customWidth="1"/>
    <col min="4" max="4" width="22.140625" customWidth="1"/>
    <col min="5" max="5" width="21" customWidth="1"/>
  </cols>
  <sheetData>
    <row r="1" spans="1:5" x14ac:dyDescent="0.25">
      <c r="A1" s="7" t="s">
        <v>0</v>
      </c>
      <c r="B1" s="7" t="s">
        <v>1</v>
      </c>
      <c r="C1" s="7" t="s">
        <v>2</v>
      </c>
      <c r="D1" s="7" t="s">
        <v>168</v>
      </c>
      <c r="E1" s="7" t="s">
        <v>169</v>
      </c>
    </row>
    <row r="2" spans="1:5" ht="60" x14ac:dyDescent="0.25">
      <c r="A2" t="s">
        <v>167</v>
      </c>
      <c r="B2" s="1" t="s">
        <v>162</v>
      </c>
      <c r="C2" t="s">
        <v>163</v>
      </c>
      <c r="D2" s="2">
        <v>680</v>
      </c>
      <c r="E2" s="2">
        <v>730</v>
      </c>
    </row>
    <row r="3" spans="1:5" ht="30" x14ac:dyDescent="0.25">
      <c r="A3" t="s">
        <v>164</v>
      </c>
      <c r="B3" s="1" t="s">
        <v>165</v>
      </c>
      <c r="C3" t="s">
        <v>163</v>
      </c>
      <c r="D3" s="2">
        <v>30</v>
      </c>
      <c r="E3" s="2">
        <v>30</v>
      </c>
    </row>
    <row r="4" spans="1:5" ht="150" x14ac:dyDescent="0.25">
      <c r="A4" t="s">
        <v>60</v>
      </c>
      <c r="B4" s="1" t="s">
        <v>166</v>
      </c>
      <c r="C4" t="s">
        <v>24</v>
      </c>
      <c r="D4" s="2">
        <v>18</v>
      </c>
      <c r="E4" s="2">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4B64-734B-483E-B5CE-15D09E3A0208}">
  <dimension ref="A1:E19"/>
  <sheetViews>
    <sheetView tabSelected="1" workbookViewId="0">
      <pane ySplit="1" topLeftCell="A6" activePane="bottomLeft" state="frozen"/>
      <selection pane="bottomLeft" activeCell="D10" sqref="D10:E10"/>
    </sheetView>
  </sheetViews>
  <sheetFormatPr defaultRowHeight="15" x14ac:dyDescent="0.25"/>
  <cols>
    <col min="1" max="1" width="17.85546875" customWidth="1"/>
    <col min="2" max="2" width="26.7109375" customWidth="1"/>
    <col min="3" max="3" width="17.85546875" customWidth="1"/>
    <col min="4" max="4" width="17.7109375" customWidth="1"/>
    <col min="5" max="5" width="18" customWidth="1"/>
  </cols>
  <sheetData>
    <row r="1" spans="1:5" ht="30" x14ac:dyDescent="0.25">
      <c r="A1" s="6" t="s">
        <v>0</v>
      </c>
      <c r="B1" s="6" t="s">
        <v>1</v>
      </c>
      <c r="C1" s="6" t="s">
        <v>2</v>
      </c>
      <c r="D1" s="6" t="s">
        <v>3</v>
      </c>
      <c r="E1" s="6" t="s">
        <v>4</v>
      </c>
    </row>
    <row r="2" spans="1:5" x14ac:dyDescent="0.25">
      <c r="A2" s="1" t="s">
        <v>52</v>
      </c>
      <c r="B2" t="s">
        <v>117</v>
      </c>
      <c r="C2" t="s">
        <v>146</v>
      </c>
      <c r="D2" s="3">
        <f>41.05*7</f>
        <v>287.34999999999997</v>
      </c>
      <c r="E2" s="3">
        <f>41.05*8</f>
        <v>328.4</v>
      </c>
    </row>
    <row r="3" spans="1:5" x14ac:dyDescent="0.25">
      <c r="A3" s="1" t="s">
        <v>53</v>
      </c>
      <c r="B3" t="s">
        <v>118</v>
      </c>
      <c r="C3" t="s">
        <v>146</v>
      </c>
      <c r="D3" s="3">
        <f>69.78*8</f>
        <v>558.24</v>
      </c>
      <c r="E3" s="3">
        <f>69.78*9</f>
        <v>628.02</v>
      </c>
    </row>
    <row r="4" spans="1:5" ht="75" x14ac:dyDescent="0.25">
      <c r="A4" s="1" t="s">
        <v>6</v>
      </c>
      <c r="B4" s="1" t="s">
        <v>33</v>
      </c>
      <c r="C4" s="1" t="s">
        <v>20</v>
      </c>
      <c r="D4" s="4">
        <v>84</v>
      </c>
      <c r="E4" s="5">
        <v>159.80000000000001</v>
      </c>
    </row>
    <row r="5" spans="1:5" ht="135" x14ac:dyDescent="0.25">
      <c r="A5" s="1" t="s">
        <v>7</v>
      </c>
      <c r="B5" s="1" t="s">
        <v>36</v>
      </c>
      <c r="C5" s="1" t="s">
        <v>21</v>
      </c>
      <c r="D5" s="4">
        <v>55</v>
      </c>
      <c r="E5" s="5">
        <v>139.5</v>
      </c>
    </row>
    <row r="6" spans="1:5" ht="150" x14ac:dyDescent="0.25">
      <c r="A6" s="1" t="s">
        <v>8</v>
      </c>
      <c r="B6" s="1" t="s">
        <v>37</v>
      </c>
      <c r="C6" s="1" t="s">
        <v>22</v>
      </c>
      <c r="D6" s="5">
        <v>6.1</v>
      </c>
      <c r="E6" s="5">
        <v>9.1</v>
      </c>
    </row>
    <row r="7" spans="1:5" ht="135" x14ac:dyDescent="0.25">
      <c r="A7" s="1" t="s">
        <v>9</v>
      </c>
      <c r="B7" s="1" t="s">
        <v>38</v>
      </c>
      <c r="C7" s="1" t="s">
        <v>23</v>
      </c>
      <c r="D7" s="5">
        <v>8.3800000000000008</v>
      </c>
      <c r="E7" s="5">
        <v>16.98</v>
      </c>
    </row>
    <row r="8" spans="1:5" ht="105" x14ac:dyDescent="0.25">
      <c r="A8" s="1" t="s">
        <v>39</v>
      </c>
      <c r="B8" s="1" t="s">
        <v>40</v>
      </c>
      <c r="C8" s="1" t="s">
        <v>24</v>
      </c>
      <c r="D8" s="5">
        <v>19.98</v>
      </c>
      <c r="E8" s="5">
        <v>44.31</v>
      </c>
    </row>
    <row r="9" spans="1:5" ht="120" x14ac:dyDescent="0.25">
      <c r="A9" s="1" t="s">
        <v>10</v>
      </c>
      <c r="B9" s="1" t="s">
        <v>41</v>
      </c>
      <c r="C9" s="1" t="s">
        <v>24</v>
      </c>
      <c r="D9" s="5">
        <v>19.5</v>
      </c>
      <c r="E9" s="5">
        <v>446.75</v>
      </c>
    </row>
    <row r="10" spans="1:5" ht="135" x14ac:dyDescent="0.25">
      <c r="A10" s="1" t="s">
        <v>64</v>
      </c>
      <c r="B10" s="1" t="s">
        <v>116</v>
      </c>
      <c r="C10" t="s">
        <v>113</v>
      </c>
      <c r="D10" s="3">
        <v>51.3</v>
      </c>
      <c r="E10" s="3">
        <v>51.3</v>
      </c>
    </row>
    <row r="11" spans="1:5" ht="135" x14ac:dyDescent="0.25">
      <c r="A11" s="1" t="s">
        <v>12</v>
      </c>
      <c r="B11" s="1" t="s">
        <v>43</v>
      </c>
      <c r="C11" s="1" t="s">
        <v>32</v>
      </c>
      <c r="D11" s="5">
        <v>65.25</v>
      </c>
      <c r="E11" s="5">
        <v>65.25</v>
      </c>
    </row>
    <row r="12" spans="1:5" ht="105" x14ac:dyDescent="0.25">
      <c r="A12" s="1" t="s">
        <v>13</v>
      </c>
      <c r="B12" s="1" t="s">
        <v>44</v>
      </c>
      <c r="C12" s="1" t="s">
        <v>26</v>
      </c>
      <c r="D12" s="5">
        <v>75.45</v>
      </c>
      <c r="E12" s="5">
        <v>122.9</v>
      </c>
    </row>
    <row r="13" spans="1:5" ht="135" x14ac:dyDescent="0.25">
      <c r="A13" s="1" t="s">
        <v>14</v>
      </c>
      <c r="B13" s="1" t="s">
        <v>45</v>
      </c>
      <c r="C13" s="1" t="s">
        <v>27</v>
      </c>
      <c r="D13" s="5">
        <v>17.3</v>
      </c>
      <c r="E13" s="5">
        <v>17.3</v>
      </c>
    </row>
    <row r="14" spans="1:5" ht="90" x14ac:dyDescent="0.25">
      <c r="A14" s="1" t="s">
        <v>15</v>
      </c>
      <c r="B14" s="1" t="s">
        <v>46</v>
      </c>
      <c r="C14" s="1" t="s">
        <v>28</v>
      </c>
      <c r="D14" s="4">
        <v>54</v>
      </c>
      <c r="E14" s="4">
        <v>54</v>
      </c>
    </row>
    <row r="15" spans="1:5" ht="105" x14ac:dyDescent="0.25">
      <c r="A15" s="1" t="s">
        <v>16</v>
      </c>
      <c r="B15" s="1" t="s">
        <v>47</v>
      </c>
      <c r="C15" s="1" t="s">
        <v>24</v>
      </c>
      <c r="D15" s="5">
        <v>6.13</v>
      </c>
      <c r="E15" s="5">
        <v>8.07</v>
      </c>
    </row>
    <row r="16" spans="1:5" ht="105" x14ac:dyDescent="0.25">
      <c r="A16" s="1" t="s">
        <v>17</v>
      </c>
      <c r="B16" s="1" t="s">
        <v>48</v>
      </c>
      <c r="C16" s="1" t="s">
        <v>24</v>
      </c>
      <c r="D16" s="5">
        <v>8.9600000000000009</v>
      </c>
      <c r="E16" s="5">
        <v>8.9600000000000009</v>
      </c>
    </row>
    <row r="17" spans="1:5" ht="90" x14ac:dyDescent="0.25">
      <c r="A17" s="1" t="s">
        <v>65</v>
      </c>
      <c r="B17" s="1" t="s">
        <v>115</v>
      </c>
      <c r="C17" t="s">
        <v>114</v>
      </c>
      <c r="D17" s="3">
        <v>58.24</v>
      </c>
      <c r="E17" s="3">
        <v>58.24</v>
      </c>
    </row>
    <row r="18" spans="1:5" ht="105" x14ac:dyDescent="0.25">
      <c r="A18" s="1" t="s">
        <v>60</v>
      </c>
      <c r="B18" s="1" t="s">
        <v>49</v>
      </c>
      <c r="C18" s="1" t="s">
        <v>29</v>
      </c>
      <c r="D18" s="5">
        <v>18</v>
      </c>
      <c r="E18" s="5">
        <v>23</v>
      </c>
    </row>
    <row r="19" spans="1:5" ht="30" x14ac:dyDescent="0.25">
      <c r="A19" s="1" t="s">
        <v>81</v>
      </c>
      <c r="B19" s="1" t="s">
        <v>161</v>
      </c>
      <c r="C19" s="1" t="s">
        <v>146</v>
      </c>
      <c r="D19" s="2">
        <v>210</v>
      </c>
      <c r="E19" s="2">
        <v>265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FCB5B-60D6-4E73-9873-3C11287D2130}">
  <dimension ref="A1:F19"/>
  <sheetViews>
    <sheetView workbookViewId="0">
      <pane ySplit="1" topLeftCell="A2" activePane="bottomLeft" state="frozen"/>
      <selection pane="bottomLeft" activeCell="D19" sqref="D19"/>
    </sheetView>
  </sheetViews>
  <sheetFormatPr defaultRowHeight="15" x14ac:dyDescent="0.25"/>
  <cols>
    <col min="1" max="1" width="17.85546875" customWidth="1"/>
    <col min="2" max="2" width="26.7109375" customWidth="1"/>
    <col min="3" max="4" width="17.85546875" customWidth="1"/>
    <col min="5" max="5" width="18" customWidth="1"/>
  </cols>
  <sheetData>
    <row r="1" spans="1:6" ht="30" x14ac:dyDescent="0.25">
      <c r="A1" s="6" t="s">
        <v>0</v>
      </c>
      <c r="B1" s="6" t="s">
        <v>1</v>
      </c>
      <c r="C1" s="6" t="s">
        <v>2</v>
      </c>
      <c r="D1" s="6" t="s">
        <v>3</v>
      </c>
      <c r="E1" s="6" t="s">
        <v>4</v>
      </c>
    </row>
    <row r="2" spans="1:6" ht="360" x14ac:dyDescent="0.25">
      <c r="A2" s="1" t="s">
        <v>66</v>
      </c>
      <c r="B2" s="1" t="s">
        <v>119</v>
      </c>
      <c r="C2" t="s">
        <v>61</v>
      </c>
      <c r="D2" s="3">
        <v>715.79</v>
      </c>
      <c r="E2" s="3">
        <v>715.79</v>
      </c>
    </row>
    <row r="3" spans="1:6" ht="300" x14ac:dyDescent="0.25">
      <c r="A3" s="1" t="s">
        <v>67</v>
      </c>
      <c r="B3" s="1" t="s">
        <v>120</v>
      </c>
      <c r="C3" t="s">
        <v>62</v>
      </c>
      <c r="D3" s="3">
        <v>389.25</v>
      </c>
      <c r="E3" s="3">
        <v>389.25</v>
      </c>
      <c r="F3" s="3"/>
    </row>
    <row r="4" spans="1:6" ht="270" x14ac:dyDescent="0.25">
      <c r="A4" s="1" t="s">
        <v>68</v>
      </c>
      <c r="B4" s="1" t="s">
        <v>121</v>
      </c>
      <c r="C4" t="s">
        <v>137</v>
      </c>
      <c r="D4" s="3">
        <v>118.32</v>
      </c>
      <c r="E4" s="3">
        <v>118.32</v>
      </c>
    </row>
    <row r="5" spans="1:6" ht="150" x14ac:dyDescent="0.25">
      <c r="A5" s="1" t="s">
        <v>69</v>
      </c>
      <c r="B5" s="1" t="s">
        <v>122</v>
      </c>
      <c r="C5" t="s">
        <v>29</v>
      </c>
      <c r="D5" s="3">
        <v>30.39</v>
      </c>
      <c r="E5" s="3">
        <v>30.39</v>
      </c>
    </row>
    <row r="6" spans="1:6" ht="180" x14ac:dyDescent="0.25">
      <c r="A6" s="1" t="s">
        <v>70</v>
      </c>
      <c r="B6" s="1" t="s">
        <v>123</v>
      </c>
      <c r="C6" t="s">
        <v>138</v>
      </c>
      <c r="D6" s="2">
        <v>614</v>
      </c>
      <c r="E6" s="2">
        <v>614</v>
      </c>
    </row>
    <row r="7" spans="1:6" ht="210" x14ac:dyDescent="0.25">
      <c r="A7" s="1" t="s">
        <v>71</v>
      </c>
      <c r="B7" s="1" t="s">
        <v>124</v>
      </c>
      <c r="C7" t="s">
        <v>24</v>
      </c>
      <c r="D7" s="3">
        <v>43.03</v>
      </c>
      <c r="E7" s="3">
        <v>43.03</v>
      </c>
    </row>
    <row r="8" spans="1:6" ht="195" x14ac:dyDescent="0.25">
      <c r="A8" s="1" t="s">
        <v>9</v>
      </c>
      <c r="B8" s="1" t="s">
        <v>125</v>
      </c>
      <c r="C8" t="s">
        <v>24</v>
      </c>
      <c r="D8" s="3">
        <v>41.43</v>
      </c>
      <c r="E8" s="3">
        <v>41.43</v>
      </c>
    </row>
    <row r="9" spans="1:6" ht="195" x14ac:dyDescent="0.25">
      <c r="A9" s="1" t="s">
        <v>72</v>
      </c>
      <c r="B9" s="1" t="s">
        <v>126</v>
      </c>
      <c r="C9" t="s">
        <v>140</v>
      </c>
      <c r="D9" s="3">
        <v>12.29</v>
      </c>
      <c r="E9" s="3">
        <v>12.29</v>
      </c>
    </row>
    <row r="10" spans="1:6" ht="165" x14ac:dyDescent="0.25">
      <c r="A10" s="1" t="s">
        <v>73</v>
      </c>
      <c r="B10" s="1" t="s">
        <v>127</v>
      </c>
      <c r="C10" t="s">
        <v>137</v>
      </c>
      <c r="D10" s="3">
        <v>161.91999999999999</v>
      </c>
      <c r="E10" s="3">
        <v>161.91999999999999</v>
      </c>
    </row>
    <row r="11" spans="1:6" ht="195" x14ac:dyDescent="0.25">
      <c r="A11" s="1" t="s">
        <v>74</v>
      </c>
      <c r="B11" s="1" t="s">
        <v>128</v>
      </c>
      <c r="C11" t="s">
        <v>138</v>
      </c>
      <c r="D11" s="3">
        <v>509.94</v>
      </c>
      <c r="E11" s="3">
        <v>509.94</v>
      </c>
    </row>
    <row r="12" spans="1:6" ht="180" x14ac:dyDescent="0.25">
      <c r="A12" s="1" t="s">
        <v>75</v>
      </c>
      <c r="B12" s="1" t="s">
        <v>129</v>
      </c>
      <c r="C12" t="s">
        <v>24</v>
      </c>
      <c r="D12" s="3">
        <v>12.5</v>
      </c>
      <c r="E12" s="3">
        <v>12.5</v>
      </c>
    </row>
    <row r="13" spans="1:6" ht="165" x14ac:dyDescent="0.25">
      <c r="A13" s="1" t="s">
        <v>76</v>
      </c>
      <c r="B13" s="1" t="s">
        <v>130</v>
      </c>
      <c r="C13" t="s">
        <v>139</v>
      </c>
      <c r="D13" s="3">
        <v>51.22</v>
      </c>
      <c r="E13" s="3">
        <v>51.22</v>
      </c>
    </row>
    <row r="14" spans="1:6" ht="165" x14ac:dyDescent="0.25">
      <c r="A14" s="1" t="s">
        <v>77</v>
      </c>
      <c r="B14" s="1" t="s">
        <v>131</v>
      </c>
      <c r="C14" t="s">
        <v>143</v>
      </c>
      <c r="D14" s="3">
        <v>21.59</v>
      </c>
      <c r="E14" s="3">
        <v>21.59</v>
      </c>
    </row>
    <row r="15" spans="1:6" ht="180" x14ac:dyDescent="0.25">
      <c r="A15" s="1" t="s">
        <v>78</v>
      </c>
      <c r="B15" s="1" t="s">
        <v>132</v>
      </c>
      <c r="C15" t="s">
        <v>24</v>
      </c>
      <c r="D15" s="3">
        <v>8.69</v>
      </c>
      <c r="E15" s="3">
        <v>8.69</v>
      </c>
    </row>
    <row r="16" spans="1:6" ht="165" x14ac:dyDescent="0.25">
      <c r="A16" s="1" t="s">
        <v>8</v>
      </c>
      <c r="B16" s="1" t="s">
        <v>133</v>
      </c>
      <c r="C16" t="s">
        <v>140</v>
      </c>
      <c r="D16" s="3">
        <v>17.29</v>
      </c>
      <c r="E16" s="3">
        <v>17.29</v>
      </c>
    </row>
    <row r="17" spans="1:5" ht="180" x14ac:dyDescent="0.25">
      <c r="A17" s="1" t="s">
        <v>79</v>
      </c>
      <c r="B17" s="1" t="s">
        <v>134</v>
      </c>
      <c r="C17" t="s">
        <v>24</v>
      </c>
      <c r="D17" s="3">
        <v>120.14</v>
      </c>
      <c r="E17" s="3">
        <v>120.14</v>
      </c>
    </row>
    <row r="18" spans="1:5" ht="180" x14ac:dyDescent="0.25">
      <c r="A18" s="1" t="s">
        <v>80</v>
      </c>
      <c r="B18" s="1" t="s">
        <v>135</v>
      </c>
      <c r="C18" t="s">
        <v>141</v>
      </c>
      <c r="D18" s="3">
        <v>676.75</v>
      </c>
      <c r="E18" s="3">
        <v>676.75</v>
      </c>
    </row>
    <row r="19" spans="1:5" ht="165" x14ac:dyDescent="0.25">
      <c r="A19" s="1" t="s">
        <v>81</v>
      </c>
      <c r="B19" s="1" t="s">
        <v>136</v>
      </c>
      <c r="C19" t="s">
        <v>142</v>
      </c>
      <c r="D19" s="2">
        <v>150</v>
      </c>
      <c r="E19" s="2">
        <v>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7F6F8-A634-4692-9CC0-75300D99772E}">
  <dimension ref="A1:E16"/>
  <sheetViews>
    <sheetView workbookViewId="0">
      <pane ySplit="1" topLeftCell="A14" activePane="bottomLeft" state="frozen"/>
      <selection pane="bottomLeft" activeCell="E6" sqref="E6"/>
    </sheetView>
  </sheetViews>
  <sheetFormatPr defaultRowHeight="15" x14ac:dyDescent="0.25"/>
  <cols>
    <col min="1" max="1" width="17.85546875" customWidth="1"/>
    <col min="2" max="2" width="26.85546875" customWidth="1"/>
    <col min="3" max="3" width="17.7109375" customWidth="1"/>
    <col min="4" max="5" width="17.85546875" customWidth="1"/>
  </cols>
  <sheetData>
    <row r="1" spans="1:5" ht="30" x14ac:dyDescent="0.25">
      <c r="A1" s="6" t="s">
        <v>0</v>
      </c>
      <c r="B1" s="6" t="s">
        <v>1</v>
      </c>
      <c r="C1" s="6" t="s">
        <v>2</v>
      </c>
      <c r="D1" s="6" t="s">
        <v>3</v>
      </c>
      <c r="E1" s="6" t="s">
        <v>4</v>
      </c>
    </row>
    <row r="2" spans="1:5" ht="135" x14ac:dyDescent="0.25">
      <c r="A2" s="1" t="s">
        <v>82</v>
      </c>
      <c r="B2" s="1" t="s">
        <v>149</v>
      </c>
      <c r="C2" t="s">
        <v>112</v>
      </c>
      <c r="D2" s="2">
        <v>100</v>
      </c>
      <c r="E2" s="2">
        <v>125</v>
      </c>
    </row>
    <row r="3" spans="1:5" ht="165" x14ac:dyDescent="0.25">
      <c r="A3" s="1" t="s">
        <v>83</v>
      </c>
      <c r="B3" s="1" t="s">
        <v>150</v>
      </c>
      <c r="C3" t="s">
        <v>144</v>
      </c>
      <c r="D3" s="2">
        <v>131</v>
      </c>
      <c r="E3" s="2">
        <v>131</v>
      </c>
    </row>
    <row r="4" spans="1:5" ht="150" x14ac:dyDescent="0.25">
      <c r="A4" s="1" t="s">
        <v>84</v>
      </c>
      <c r="B4" s="1" t="s">
        <v>151</v>
      </c>
      <c r="C4" t="s">
        <v>137</v>
      </c>
      <c r="D4" s="2">
        <v>60</v>
      </c>
      <c r="E4" s="2">
        <v>125</v>
      </c>
    </row>
    <row r="5" spans="1:5" ht="150" x14ac:dyDescent="0.25">
      <c r="A5" s="1" t="s">
        <v>85</v>
      </c>
      <c r="B5" s="1" t="s">
        <v>122</v>
      </c>
      <c r="C5" t="s">
        <v>29</v>
      </c>
      <c r="D5" t="s">
        <v>147</v>
      </c>
      <c r="E5" t="s">
        <v>170</v>
      </c>
    </row>
    <row r="6" spans="1:5" ht="180" x14ac:dyDescent="0.25">
      <c r="A6" s="1" t="s">
        <v>70</v>
      </c>
      <c r="B6" s="1" t="s">
        <v>123</v>
      </c>
      <c r="C6" t="s">
        <v>138</v>
      </c>
      <c r="D6" s="3">
        <v>380.71</v>
      </c>
      <c r="E6" s="3">
        <v>380.71</v>
      </c>
    </row>
    <row r="7" spans="1:5" ht="150" x14ac:dyDescent="0.25">
      <c r="A7" s="1" t="s">
        <v>86</v>
      </c>
      <c r="B7" s="1" t="s">
        <v>152</v>
      </c>
      <c r="C7" t="s">
        <v>112</v>
      </c>
      <c r="D7" s="2">
        <v>120</v>
      </c>
      <c r="E7" s="2">
        <v>120</v>
      </c>
    </row>
    <row r="8" spans="1:5" x14ac:dyDescent="0.25">
      <c r="A8" s="1" t="s">
        <v>87</v>
      </c>
      <c r="B8" t="s">
        <v>153</v>
      </c>
      <c r="C8" t="s">
        <v>140</v>
      </c>
      <c r="D8" s="3">
        <v>14.73</v>
      </c>
      <c r="E8" s="3">
        <v>14.73</v>
      </c>
    </row>
    <row r="9" spans="1:5" ht="180" x14ac:dyDescent="0.25">
      <c r="A9" s="1" t="s">
        <v>88</v>
      </c>
      <c r="B9" s="1" t="s">
        <v>154</v>
      </c>
      <c r="C9" t="s">
        <v>24</v>
      </c>
      <c r="D9" s="2">
        <v>38</v>
      </c>
      <c r="E9" s="2">
        <v>50</v>
      </c>
    </row>
    <row r="10" spans="1:5" ht="180" x14ac:dyDescent="0.25">
      <c r="A10" s="1" t="s">
        <v>89</v>
      </c>
      <c r="B10" s="1" t="s">
        <v>155</v>
      </c>
      <c r="C10" t="s">
        <v>148</v>
      </c>
      <c r="D10" s="3">
        <v>63.53</v>
      </c>
      <c r="E10" s="3">
        <v>63.53</v>
      </c>
    </row>
    <row r="11" spans="1:5" ht="195" x14ac:dyDescent="0.25">
      <c r="A11" s="1" t="s">
        <v>72</v>
      </c>
      <c r="B11" s="1" t="s">
        <v>126</v>
      </c>
      <c r="C11" t="s">
        <v>140</v>
      </c>
      <c r="D11" s="3">
        <v>10.45</v>
      </c>
      <c r="E11" s="3">
        <v>10.45</v>
      </c>
    </row>
    <row r="12" spans="1:5" ht="150" x14ac:dyDescent="0.25">
      <c r="A12" s="1" t="s">
        <v>90</v>
      </c>
      <c r="B12" s="1" t="s">
        <v>156</v>
      </c>
      <c r="C12" t="s">
        <v>24</v>
      </c>
      <c r="D12" s="3">
        <v>8.15</v>
      </c>
      <c r="E12" s="3">
        <v>8.15</v>
      </c>
    </row>
    <row r="13" spans="1:5" ht="165" x14ac:dyDescent="0.25">
      <c r="A13" s="1" t="s">
        <v>79</v>
      </c>
      <c r="B13" s="1" t="s">
        <v>134</v>
      </c>
      <c r="C13" t="s">
        <v>24</v>
      </c>
      <c r="D13" s="3">
        <v>120.15</v>
      </c>
      <c r="E13" s="3">
        <v>120.15</v>
      </c>
    </row>
    <row r="14" spans="1:5" ht="150" x14ac:dyDescent="0.25">
      <c r="A14" s="1" t="s">
        <v>91</v>
      </c>
      <c r="B14" s="1" t="s">
        <v>157</v>
      </c>
      <c r="C14" t="s">
        <v>145</v>
      </c>
      <c r="D14" s="2">
        <v>59</v>
      </c>
      <c r="E14" s="2">
        <v>82</v>
      </c>
    </row>
    <row r="15" spans="1:5" ht="150" x14ac:dyDescent="0.25">
      <c r="A15" s="1" t="s">
        <v>92</v>
      </c>
      <c r="B15" s="1" t="s">
        <v>158</v>
      </c>
      <c r="C15" t="s">
        <v>137</v>
      </c>
      <c r="D15" s="2">
        <v>60</v>
      </c>
      <c r="E15" s="2">
        <v>100</v>
      </c>
    </row>
    <row r="16" spans="1:5" ht="165" x14ac:dyDescent="0.25">
      <c r="A16" s="1" t="s">
        <v>93</v>
      </c>
      <c r="B16" s="1" t="s">
        <v>136</v>
      </c>
      <c r="C16" t="s">
        <v>146</v>
      </c>
      <c r="D16" s="2">
        <v>150</v>
      </c>
      <c r="E16" s="2">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Shingle (Class 3)</vt:lpstr>
      <vt:lpstr>Shingles (Class 4)</vt:lpstr>
      <vt:lpstr>Stone Coated Steel</vt:lpstr>
      <vt:lpstr>Standing Seam</vt:lpstr>
      <vt:lpstr>Synthetic Tile (Brava)</vt:lpstr>
      <vt:lpstr>TPO</vt:lpstr>
      <vt:lpstr>Modified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Johnson</dc:creator>
  <cp:lastModifiedBy>Aditya Kushwaha Python Developer</cp:lastModifiedBy>
  <dcterms:created xsi:type="dcterms:W3CDTF">2025-12-08T21:44:43Z</dcterms:created>
  <dcterms:modified xsi:type="dcterms:W3CDTF">2026-05-22T11:21:32Z</dcterms:modified>
</cp:coreProperties>
</file>